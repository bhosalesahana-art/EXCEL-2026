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hana S B\OneDrive\Desktop\DATA ANALYTICS INTERNSHIP 2026\EXCEL\"/>
    </mc:Choice>
  </mc:AlternateContent>
  <xr:revisionPtr revIDLastSave="0" documentId="8_{64D5F464-E7CD-4CA5-A9F7-BD3F325CEA8E}" xr6:coauthVersionLast="47" xr6:coauthVersionMax="47" xr10:uidLastSave="{00000000-0000-0000-0000-000000000000}"/>
  <bookViews>
    <workbookView xWindow="-108" yWindow="-108" windowWidth="23256" windowHeight="12456" xr2:uid="{E77A9DA8-208B-4DAD-A3E9-2639D82B12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1" i="1" l="1"/>
  <c r="A85" i="1"/>
  <c r="G80" i="1"/>
  <c r="A105" i="1" s="1" a="1"/>
  <c r="A105" i="1" s="1"/>
  <c r="F73" i="1"/>
  <c r="G73" i="1" s="1"/>
  <c r="F74" i="1"/>
  <c r="G74" i="1" s="1"/>
  <c r="F75" i="1"/>
  <c r="G75" i="1" s="1"/>
  <c r="F76" i="1"/>
  <c r="B92" i="1" s="1"/>
  <c r="F77" i="1"/>
  <c r="G77" i="1" s="1"/>
  <c r="H77" i="1" s="1"/>
  <c r="F78" i="1"/>
  <c r="G78" i="1" s="1"/>
  <c r="F79" i="1"/>
  <c r="G79" i="1" s="1"/>
  <c r="F80" i="1"/>
  <c r="F81" i="1"/>
  <c r="G81" i="1" s="1"/>
  <c r="F72" i="1"/>
  <c r="G72" i="1" s="1"/>
  <c r="B67" i="1"/>
  <c r="B66" i="1"/>
  <c r="H61" i="1"/>
  <c r="F61" i="1"/>
  <c r="D61" i="1"/>
  <c r="B63" i="1"/>
  <c r="B62" i="1"/>
  <c r="B61" i="1"/>
  <c r="A59" i="1"/>
  <c r="L22" i="1"/>
  <c r="K22" i="1"/>
  <c r="K21" i="1"/>
  <c r="K20" i="1"/>
  <c r="B19" i="1"/>
  <c r="A16" i="1"/>
  <c r="H3" i="1"/>
  <c r="H4" i="1"/>
  <c r="L20" i="1" s="1"/>
  <c r="H5" i="1"/>
  <c r="L21" i="1" s="1"/>
  <c r="H6" i="1"/>
  <c r="H7" i="1"/>
  <c r="H8" i="1"/>
  <c r="H9" i="1"/>
  <c r="H10" i="1"/>
  <c r="H11" i="1"/>
  <c r="H12" i="1"/>
  <c r="H2" i="1"/>
  <c r="A100" i="1" l="1" a="1"/>
  <c r="A100" i="1" s="1"/>
  <c r="H75" i="1"/>
  <c r="A99" i="1" a="1"/>
  <c r="A99" i="1" s="1"/>
  <c r="H74" i="1"/>
  <c r="G76" i="1"/>
  <c r="H76" i="1" s="1"/>
  <c r="A104" i="1" a="1"/>
  <c r="A104" i="1" s="1"/>
  <c r="H79" i="1"/>
  <c r="A103" i="1" a="1"/>
  <c r="A103" i="1" s="1"/>
  <c r="H78" i="1"/>
  <c r="A97" i="1" a="1"/>
  <c r="A97" i="1" s="1"/>
  <c r="H72" i="1"/>
  <c r="A106" i="1" a="1"/>
  <c r="A106" i="1" s="1"/>
  <c r="H81" i="1"/>
  <c r="A98" i="1" a="1"/>
  <c r="A98" i="1" s="1"/>
  <c r="H73" i="1"/>
  <c r="A102" i="1" a="1"/>
  <c r="A102" i="1" s="1"/>
  <c r="H80" i="1"/>
  <c r="A101" i="1" a="1"/>
  <c r="A101" i="1" s="1"/>
  <c r="J2" i="1" a="1"/>
  <c r="J2" i="1"/>
  <c r="B20" i="1"/>
  <c r="J26" i="1"/>
  <c r="A25" i="1" a="1"/>
  <c r="A25" i="1" s="1"/>
  <c r="A88" i="1" l="1"/>
  <c r="B110" i="1"/>
  <c r="B10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<sst xmlns="http://schemas.openxmlformats.org/spreadsheetml/2006/main" count="102" uniqueCount="75">
  <si>
    <t>SALESMAN</t>
  </si>
  <si>
    <t>JAN</t>
  </si>
  <si>
    <t>FEB</t>
  </si>
  <si>
    <t>MAR</t>
  </si>
  <si>
    <t>APR</t>
  </si>
  <si>
    <t>MAY</t>
  </si>
  <si>
    <t>JUNE</t>
  </si>
  <si>
    <t>SALES</t>
  </si>
  <si>
    <t>TARGET</t>
  </si>
  <si>
    <t>RESULT</t>
  </si>
  <si>
    <t>RAMESH</t>
  </si>
  <si>
    <t>RAKESH</t>
  </si>
  <si>
    <t>RAHUL</t>
  </si>
  <si>
    <t>POOJA</t>
  </si>
  <si>
    <t>MANOJ</t>
  </si>
  <si>
    <t>ASHOK</t>
  </si>
  <si>
    <t>ALOK</t>
  </si>
  <si>
    <t>AJEET</t>
  </si>
  <si>
    <t>AMRIT</t>
  </si>
  <si>
    <t>SURENDAR</t>
  </si>
  <si>
    <t>SHASHI</t>
  </si>
  <si>
    <t>NO OF SALESMAN</t>
  </si>
  <si>
    <t xml:space="preserve">SALESMAN AJEET </t>
  </si>
  <si>
    <t>TARGET ACHIVED SALES&gt;ACHIVED,ELSE NOT ACHIVED</t>
  </si>
  <si>
    <t>TARGET AND SALES</t>
  </si>
  <si>
    <t>SALES ACHIVED TARGET</t>
  </si>
  <si>
    <t>ITEMS</t>
  </si>
  <si>
    <t>DATE</t>
  </si>
  <si>
    <t>COST</t>
  </si>
  <si>
    <t>BRAKES</t>
  </si>
  <si>
    <t>TYERS</t>
  </si>
  <si>
    <t>SERVICE</t>
  </si>
  <si>
    <t>WINDOW</t>
  </si>
  <si>
    <t>CLUTCH</t>
  </si>
  <si>
    <t>18-05-2016</t>
  </si>
  <si>
    <t>20-05-2016</t>
  </si>
  <si>
    <t>25-05-2016</t>
  </si>
  <si>
    <t>15-06-2016</t>
  </si>
  <si>
    <t>14-08-2016</t>
  </si>
  <si>
    <t>15-08-2016</t>
  </si>
  <si>
    <t>20-08-2016</t>
  </si>
  <si>
    <t xml:space="preserve"> </t>
  </si>
  <si>
    <t>NO OF ITEMS</t>
  </si>
  <si>
    <t>NO OF BRAKE ,WINDOW,TYERS BROUGHTS</t>
  </si>
  <si>
    <t>BRAKE</t>
  </si>
  <si>
    <t>COST &gt;1000</t>
  </si>
  <si>
    <t>COST&lt;1000</t>
  </si>
  <si>
    <t>&gt;=1000</t>
  </si>
  <si>
    <t xml:space="preserve">TOTAL COST </t>
  </si>
  <si>
    <t>NAME</t>
  </si>
  <si>
    <t>MATH</t>
  </si>
  <si>
    <t>ENGLISH</t>
  </si>
  <si>
    <t>PHYSICS</t>
  </si>
  <si>
    <t>TOTAL</t>
  </si>
  <si>
    <t>PERCENTAGE</t>
  </si>
  <si>
    <t>GRADE</t>
  </si>
  <si>
    <t>ALAN</t>
  </si>
  <si>
    <t>BOB</t>
  </si>
  <si>
    <t>CAROL</t>
  </si>
  <si>
    <t>DAVID</t>
  </si>
  <si>
    <t>ERIC</t>
  </si>
  <si>
    <t>FRED</t>
  </si>
  <si>
    <t>GAIL</t>
  </si>
  <si>
    <t>HARRY</t>
  </si>
  <si>
    <t>LAN</t>
  </si>
  <si>
    <t>JANICE</t>
  </si>
  <si>
    <t>ABSENT</t>
  </si>
  <si>
    <t>NO OF STUDENTS</t>
  </si>
  <si>
    <t>PERCENTAGE &gt;50</t>
  </si>
  <si>
    <t xml:space="preserve">TOTAL NO </t>
  </si>
  <si>
    <t>&gt;50 GOOD</t>
  </si>
  <si>
    <t>BAD</t>
  </si>
  <si>
    <t>&gt;70 EXCELLENT ,&gt;50GOOD, BAD</t>
  </si>
  <si>
    <t xml:space="preserve">NO OF STUDENTS 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</si>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</sst>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fill>
        <patternFill>
          <bgColor theme="5" tint="-0.24994659260841701"/>
        </patternFill>
      </fill>
    </dxf>
    <dxf>
      <fill>
        <patternFill>
          <fgColor theme="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B0F84-BF3F-4143-A860-F2DAC00F7E4A}">
  <dimension ref="A1:L110"/>
  <sheetViews>
    <sheetView tabSelected="1" topLeftCell="A95" workbookViewId="0">
      <selection activeCell="M107" sqref="M107"/>
    </sheetView>
  </sheetViews>
  <sheetFormatPr defaultRowHeight="14.4" x14ac:dyDescent="0.3"/>
  <cols>
    <col min="1" max="1" width="22.109375" customWidth="1"/>
    <col min="2" max="2" width="24" customWidth="1"/>
    <col min="3" max="3" width="13.21875" customWidth="1"/>
    <col min="7" max="7" width="16.33203125" customWidth="1"/>
    <col min="8" max="8" width="14.44140625" customWidth="1"/>
    <col min="10" max="10" width="18.5546875" customWidth="1"/>
    <col min="11" max="11" width="15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2000</v>
      </c>
      <c r="C2">
        <v>1500</v>
      </c>
      <c r="D2">
        <v>300</v>
      </c>
      <c r="E2">
        <v>1400</v>
      </c>
      <c r="F2">
        <v>1000</v>
      </c>
      <c r="G2">
        <v>1400</v>
      </c>
      <c r="H2">
        <f>SUM(B2:G2)</f>
        <v>7600</v>
      </c>
      <c r="I2">
        <v>10000</v>
      </c>
      <c r="J2" t="str" cm="1">
        <f t="array" ref="J2:J12">IF(H2:H12&gt;I2:I12,"ACHIVED","NOT ACHIVED")</f>
        <v>NOT ACHIVED</v>
      </c>
    </row>
    <row r="3" spans="1:10" x14ac:dyDescent="0.3">
      <c r="A3" t="s">
        <v>11</v>
      </c>
      <c r="B3">
        <v>5000</v>
      </c>
      <c r="C3">
        <v>1200</v>
      </c>
      <c r="D3">
        <v>500</v>
      </c>
      <c r="E3">
        <v>1200</v>
      </c>
      <c r="F3">
        <v>1200</v>
      </c>
      <c r="G3">
        <v>2800</v>
      </c>
      <c r="H3">
        <f t="shared" ref="H3:H12" si="0">SUM(B3:G3)</f>
        <v>11900</v>
      </c>
      <c r="I3">
        <v>12000</v>
      </c>
      <c r="J3" t="str">
        <v>NOT ACHIVED</v>
      </c>
    </row>
    <row r="4" spans="1:10" x14ac:dyDescent="0.3">
      <c r="A4" t="s">
        <v>12</v>
      </c>
      <c r="B4">
        <v>3000</v>
      </c>
      <c r="C4">
        <v>800</v>
      </c>
      <c r="D4">
        <v>1200</v>
      </c>
      <c r="E4">
        <v>3000</v>
      </c>
      <c r="F4">
        <v>1500</v>
      </c>
      <c r="G4">
        <v>3500</v>
      </c>
      <c r="H4">
        <f t="shared" si="0"/>
        <v>13000</v>
      </c>
      <c r="I4">
        <v>18000</v>
      </c>
      <c r="J4" t="str">
        <v>NOT ACHIVED</v>
      </c>
    </row>
    <row r="5" spans="1:10" x14ac:dyDescent="0.3">
      <c r="A5" t="s">
        <v>13</v>
      </c>
      <c r="B5">
        <v>1000</v>
      </c>
      <c r="C5">
        <v>900</v>
      </c>
      <c r="D5">
        <v>1800</v>
      </c>
      <c r="E5">
        <v>5000</v>
      </c>
      <c r="F5">
        <v>1400</v>
      </c>
      <c r="G5">
        <v>1200</v>
      </c>
      <c r="H5">
        <f t="shared" si="0"/>
        <v>11300</v>
      </c>
      <c r="I5">
        <v>10000</v>
      </c>
      <c r="J5" t="str">
        <v>ACHIVED</v>
      </c>
    </row>
    <row r="6" spans="1:10" x14ac:dyDescent="0.3">
      <c r="A6" t="s">
        <v>14</v>
      </c>
      <c r="B6">
        <v>500</v>
      </c>
      <c r="C6">
        <v>1000</v>
      </c>
      <c r="D6">
        <v>2300</v>
      </c>
      <c r="E6">
        <v>8000</v>
      </c>
      <c r="F6">
        <v>1700</v>
      </c>
      <c r="G6">
        <v>1400</v>
      </c>
      <c r="H6">
        <f t="shared" si="0"/>
        <v>14900</v>
      </c>
      <c r="I6">
        <v>12000</v>
      </c>
      <c r="J6" t="str">
        <v>ACHIVED</v>
      </c>
    </row>
    <row r="7" spans="1:10" x14ac:dyDescent="0.3">
      <c r="A7" t="s">
        <v>15</v>
      </c>
      <c r="B7">
        <v>800</v>
      </c>
      <c r="C7">
        <v>500</v>
      </c>
      <c r="D7">
        <v>2400</v>
      </c>
      <c r="E7">
        <v>1900</v>
      </c>
      <c r="F7">
        <v>1800</v>
      </c>
      <c r="G7">
        <v>1800</v>
      </c>
      <c r="H7">
        <f t="shared" si="0"/>
        <v>9200</v>
      </c>
      <c r="I7">
        <v>10000</v>
      </c>
      <c r="J7" t="str">
        <v>NOT ACHIVED</v>
      </c>
    </row>
    <row r="8" spans="1:10" x14ac:dyDescent="0.3">
      <c r="A8" t="s">
        <v>17</v>
      </c>
      <c r="B8">
        <v>1200</v>
      </c>
      <c r="C8">
        <v>1400</v>
      </c>
      <c r="D8">
        <v>1500</v>
      </c>
      <c r="E8">
        <v>700</v>
      </c>
      <c r="F8">
        <v>2500</v>
      </c>
      <c r="G8">
        <v>7000</v>
      </c>
      <c r="H8">
        <f t="shared" si="0"/>
        <v>14300</v>
      </c>
      <c r="I8">
        <v>12000</v>
      </c>
      <c r="J8" t="str">
        <v>ACHIVED</v>
      </c>
    </row>
    <row r="9" spans="1:10" x14ac:dyDescent="0.3">
      <c r="A9" t="s">
        <v>16</v>
      </c>
      <c r="B9">
        <v>1500</v>
      </c>
      <c r="C9">
        <v>1800</v>
      </c>
      <c r="D9">
        <v>1800</v>
      </c>
      <c r="E9">
        <v>1800</v>
      </c>
      <c r="F9">
        <v>300</v>
      </c>
      <c r="G9">
        <v>1500</v>
      </c>
      <c r="H9">
        <f t="shared" si="0"/>
        <v>8700</v>
      </c>
      <c r="I9">
        <v>10000</v>
      </c>
      <c r="J9" t="str">
        <v>NOT ACHIVED</v>
      </c>
    </row>
    <row r="10" spans="1:10" x14ac:dyDescent="0.3">
      <c r="A10" t="s">
        <v>18</v>
      </c>
      <c r="B10">
        <v>1800</v>
      </c>
      <c r="C10">
        <v>2500</v>
      </c>
      <c r="D10">
        <v>1700</v>
      </c>
      <c r="E10">
        <v>1500</v>
      </c>
      <c r="F10">
        <v>2800</v>
      </c>
      <c r="G10">
        <v>1800</v>
      </c>
      <c r="H10">
        <f t="shared" si="0"/>
        <v>12100</v>
      </c>
      <c r="I10">
        <v>12000</v>
      </c>
      <c r="J10" t="str">
        <v>ACHIVED</v>
      </c>
    </row>
    <row r="11" spans="1:10" x14ac:dyDescent="0.3">
      <c r="A11" t="s">
        <v>19</v>
      </c>
      <c r="B11">
        <v>200</v>
      </c>
      <c r="C11">
        <v>3000</v>
      </c>
      <c r="D11">
        <v>1900</v>
      </c>
      <c r="E11">
        <v>1200</v>
      </c>
      <c r="F11">
        <v>1500</v>
      </c>
      <c r="G11">
        <v>3000</v>
      </c>
      <c r="H11">
        <f t="shared" si="0"/>
        <v>10800</v>
      </c>
      <c r="I11">
        <v>10000</v>
      </c>
      <c r="J11" t="str">
        <v>ACHIVED</v>
      </c>
    </row>
    <row r="12" spans="1:10" x14ac:dyDescent="0.3">
      <c r="A12" t="s">
        <v>20</v>
      </c>
      <c r="B12">
        <v>1600</v>
      </c>
      <c r="C12">
        <v>1200</v>
      </c>
      <c r="D12">
        <v>2000</v>
      </c>
      <c r="E12">
        <v>800</v>
      </c>
      <c r="F12">
        <v>1700</v>
      </c>
      <c r="G12">
        <v>800</v>
      </c>
      <c r="H12">
        <f t="shared" si="0"/>
        <v>8100</v>
      </c>
      <c r="I12">
        <v>10000</v>
      </c>
      <c r="J12" t="str">
        <v>NOT ACHIVED</v>
      </c>
    </row>
    <row r="15" spans="1:10" x14ac:dyDescent="0.3">
      <c r="A15" t="s">
        <v>21</v>
      </c>
    </row>
    <row r="16" spans="1:10" x14ac:dyDescent="0.3">
      <c r="A16">
        <f>COUNTA(A2:A12)</f>
        <v>11</v>
      </c>
    </row>
    <row r="18" spans="1:12" x14ac:dyDescent="0.3">
      <c r="A18" t="s">
        <v>22</v>
      </c>
    </row>
    <row r="19" spans="1:12" x14ac:dyDescent="0.3">
      <c r="A19" t="s">
        <v>8</v>
      </c>
      <c r="B19">
        <f>VLOOKUP(A8,A1:J12,9,)</f>
        <v>12000</v>
      </c>
      <c r="J19" t="s">
        <v>24</v>
      </c>
      <c r="K19" t="s">
        <v>8</v>
      </c>
      <c r="L19" t="s">
        <v>7</v>
      </c>
    </row>
    <row r="20" spans="1:12" x14ac:dyDescent="0.3">
      <c r="A20" t="s">
        <v>9</v>
      </c>
      <c r="B20" t="str">
        <f>VLOOKUP(A8,A1:J12,10,)</f>
        <v>ACHIVED</v>
      </c>
      <c r="J20" t="s">
        <v>12</v>
      </c>
      <c r="K20">
        <f>VLOOKUP(A4,A1:J12,9,)</f>
        <v>18000</v>
      </c>
      <c r="L20">
        <f>VLOOKUP(A4,A1:J12,8,)</f>
        <v>13000</v>
      </c>
    </row>
    <row r="21" spans="1:12" x14ac:dyDescent="0.3">
      <c r="J21" t="s">
        <v>13</v>
      </c>
      <c r="K21">
        <f>VLOOKUP(A5,A1:J13,9,)</f>
        <v>10000</v>
      </c>
      <c r="L21">
        <f>VLOOKUP(A5,A1:J12,8,)</f>
        <v>11300</v>
      </c>
    </row>
    <row r="22" spans="1:12" x14ac:dyDescent="0.3">
      <c r="A22" t="s">
        <v>23</v>
      </c>
      <c r="J22" t="s">
        <v>15</v>
      </c>
      <c r="K22">
        <f>VLOOKUP(A7,A1:J12,9,)</f>
        <v>10000</v>
      </c>
      <c r="L22">
        <f>VLOOKUP(A7,A1:J12,8,)</f>
        <v>9200</v>
      </c>
    </row>
    <row r="25" spans="1:12" x14ac:dyDescent="0.3">
      <c r="A25" t="str" cm="1">
        <f t="array" ref="A25:A35">IF(H2:H12&gt;I2:I12,"ACHIVED","NOT ACHIVED")</f>
        <v>NOT ACHIVED</v>
      </c>
      <c r="J25" t="s">
        <v>25</v>
      </c>
    </row>
    <row r="26" spans="1:12" x14ac:dyDescent="0.3">
      <c r="A26" t="str">
        <v>NOT ACHIVED</v>
      </c>
      <c r="J26">
        <f>COUNTIF(_xlfn.ANCHORARRAY(J2),"ACHIVED")</f>
        <v>5</v>
      </c>
    </row>
    <row r="27" spans="1:12" x14ac:dyDescent="0.3">
      <c r="A27" t="str">
        <v>NOT ACHIVED</v>
      </c>
    </row>
    <row r="28" spans="1:12" x14ac:dyDescent="0.3">
      <c r="A28" t="str">
        <v>ACHIVED</v>
      </c>
    </row>
    <row r="29" spans="1:12" x14ac:dyDescent="0.3">
      <c r="A29" t="str">
        <v>ACHIVED</v>
      </c>
    </row>
    <row r="30" spans="1:12" x14ac:dyDescent="0.3">
      <c r="A30" t="str">
        <v>NOT ACHIVED</v>
      </c>
    </row>
    <row r="31" spans="1:12" x14ac:dyDescent="0.3">
      <c r="A31" t="str">
        <v>ACHIVED</v>
      </c>
    </row>
    <row r="32" spans="1:12" x14ac:dyDescent="0.3">
      <c r="A32" t="str">
        <v>NOT ACHIVED</v>
      </c>
    </row>
    <row r="33" spans="1:3" x14ac:dyDescent="0.3">
      <c r="A33" t="str">
        <v>ACHIVED</v>
      </c>
    </row>
    <row r="34" spans="1:3" x14ac:dyDescent="0.3">
      <c r="A34" t="str">
        <v>ACHIVED</v>
      </c>
    </row>
    <row r="35" spans="1:3" x14ac:dyDescent="0.3">
      <c r="A35" t="str">
        <v>NOT ACHIVED</v>
      </c>
    </row>
    <row r="37" spans="1:3" x14ac:dyDescent="0.3">
      <c r="A37" t="s">
        <v>26</v>
      </c>
      <c r="B37" t="s">
        <v>27</v>
      </c>
      <c r="C37" t="s">
        <v>28</v>
      </c>
    </row>
    <row r="38" spans="1:3" x14ac:dyDescent="0.3">
      <c r="A38" t="s">
        <v>29</v>
      </c>
      <c r="B38" s="1">
        <v>42370</v>
      </c>
      <c r="C38">
        <v>800</v>
      </c>
    </row>
    <row r="39" spans="1:3" x14ac:dyDescent="0.3">
      <c r="A39" t="s">
        <v>30</v>
      </c>
      <c r="B39" s="1">
        <v>42709</v>
      </c>
      <c r="C39">
        <v>2000</v>
      </c>
    </row>
    <row r="40" spans="1:3" x14ac:dyDescent="0.3">
      <c r="A40" t="s">
        <v>29</v>
      </c>
      <c r="B40" t="s">
        <v>34</v>
      </c>
      <c r="C40">
        <v>500</v>
      </c>
    </row>
    <row r="41" spans="1:3" x14ac:dyDescent="0.3">
      <c r="A41" t="s">
        <v>31</v>
      </c>
      <c r="B41" t="s">
        <v>35</v>
      </c>
      <c r="C41">
        <v>800</v>
      </c>
    </row>
    <row r="42" spans="1:3" x14ac:dyDescent="0.3">
      <c r="A42" t="s">
        <v>31</v>
      </c>
      <c r="B42" s="1">
        <v>42645</v>
      </c>
      <c r="C42">
        <v>1000</v>
      </c>
    </row>
    <row r="43" spans="1:3" x14ac:dyDescent="0.3">
      <c r="A43" t="s">
        <v>32</v>
      </c>
      <c r="B43" s="1">
        <v>42587</v>
      </c>
      <c r="C43">
        <v>1000</v>
      </c>
    </row>
    <row r="44" spans="1:3" x14ac:dyDescent="0.3">
      <c r="A44" t="s">
        <v>30</v>
      </c>
      <c r="B44" s="1">
        <v>42648</v>
      </c>
      <c r="C44">
        <v>1200</v>
      </c>
    </row>
    <row r="45" spans="1:3" x14ac:dyDescent="0.3">
      <c r="A45" t="s">
        <v>30</v>
      </c>
      <c r="B45" t="s">
        <v>36</v>
      </c>
      <c r="C45">
        <v>1500</v>
      </c>
    </row>
    <row r="46" spans="1:3" x14ac:dyDescent="0.3">
      <c r="A46" t="s">
        <v>33</v>
      </c>
      <c r="B46" s="1">
        <v>42650</v>
      </c>
      <c r="C46">
        <v>1800</v>
      </c>
    </row>
    <row r="47" spans="1:3" x14ac:dyDescent="0.3">
      <c r="A47" t="s">
        <v>30</v>
      </c>
      <c r="B47" s="1">
        <v>42644</v>
      </c>
      <c r="C47">
        <v>2000</v>
      </c>
    </row>
    <row r="48" spans="1:3" x14ac:dyDescent="0.3">
      <c r="A48" t="s">
        <v>33</v>
      </c>
      <c r="B48" t="s">
        <v>37</v>
      </c>
      <c r="C48">
        <v>1500</v>
      </c>
    </row>
    <row r="49" spans="1:8" x14ac:dyDescent="0.3">
      <c r="A49" t="s">
        <v>33</v>
      </c>
      <c r="B49" s="1">
        <v>42705</v>
      </c>
      <c r="C49">
        <v>1000</v>
      </c>
    </row>
    <row r="50" spans="1:8" x14ac:dyDescent="0.3">
      <c r="A50" t="s">
        <v>32</v>
      </c>
      <c r="B50" s="1">
        <v>42370</v>
      </c>
      <c r="C50">
        <v>1200</v>
      </c>
    </row>
    <row r="51" spans="1:8" x14ac:dyDescent="0.3">
      <c r="A51" t="s">
        <v>32</v>
      </c>
      <c r="B51" s="1">
        <v>42648</v>
      </c>
      <c r="C51">
        <v>1500</v>
      </c>
    </row>
    <row r="52" spans="1:8" x14ac:dyDescent="0.3">
      <c r="A52" t="s">
        <v>32</v>
      </c>
      <c r="B52" s="1">
        <v>42648</v>
      </c>
      <c r="C52">
        <v>1800</v>
      </c>
    </row>
    <row r="53" spans="1:8" x14ac:dyDescent="0.3">
      <c r="A53" t="s">
        <v>29</v>
      </c>
      <c r="B53" s="1">
        <v>42648</v>
      </c>
      <c r="C53">
        <v>1000</v>
      </c>
    </row>
    <row r="54" spans="1:8" x14ac:dyDescent="0.3">
      <c r="A54" t="s">
        <v>29</v>
      </c>
      <c r="B54" t="s">
        <v>38</v>
      </c>
      <c r="C54">
        <v>1200</v>
      </c>
    </row>
    <row r="55" spans="1:8" x14ac:dyDescent="0.3">
      <c r="A55" t="s">
        <v>30</v>
      </c>
      <c r="B55" t="s">
        <v>39</v>
      </c>
      <c r="C55">
        <v>1500</v>
      </c>
    </row>
    <row r="56" spans="1:8" x14ac:dyDescent="0.3">
      <c r="A56" t="s">
        <v>32</v>
      </c>
      <c r="B56" t="s">
        <v>40</v>
      </c>
      <c r="C56">
        <v>1800</v>
      </c>
    </row>
    <row r="57" spans="1:8" x14ac:dyDescent="0.3">
      <c r="C57" t="s">
        <v>41</v>
      </c>
    </row>
    <row r="58" spans="1:8" x14ac:dyDescent="0.3">
      <c r="A58" t="s">
        <v>42</v>
      </c>
    </row>
    <row r="59" spans="1:8" x14ac:dyDescent="0.3">
      <c r="A59">
        <f>COUNTA(A38:A56)</f>
        <v>19</v>
      </c>
    </row>
    <row r="60" spans="1:8" x14ac:dyDescent="0.3">
      <c r="A60" t="s">
        <v>43</v>
      </c>
      <c r="D60" t="s">
        <v>45</v>
      </c>
      <c r="F60" t="s">
        <v>46</v>
      </c>
      <c r="H60" t="s">
        <v>47</v>
      </c>
    </row>
    <row r="61" spans="1:8" x14ac:dyDescent="0.3">
      <c r="A61" t="s">
        <v>44</v>
      </c>
      <c r="B61">
        <f>COUNTIF(A38:A56,A38)</f>
        <v>4</v>
      </c>
      <c r="D61">
        <f>COUNTIF(C38:C56,"&gt;1000")</f>
        <v>12</v>
      </c>
      <c r="F61">
        <f>COUNTIF(C38:C56,"&lt;1000")</f>
        <v>3</v>
      </c>
      <c r="H61">
        <f>COUNTIF(C38:C56,"&gt;=1000")</f>
        <v>16</v>
      </c>
    </row>
    <row r="62" spans="1:8" x14ac:dyDescent="0.3">
      <c r="A62" t="s">
        <v>32</v>
      </c>
      <c r="B62">
        <f>COUNTIF(A38:A56,A43)</f>
        <v>5</v>
      </c>
    </row>
    <row r="63" spans="1:8" x14ac:dyDescent="0.3">
      <c r="A63" t="s">
        <v>30</v>
      </c>
      <c r="B63">
        <f>COUNTIF(A38:A56,A39)</f>
        <v>5</v>
      </c>
    </row>
    <row r="65" spans="1:8" x14ac:dyDescent="0.3">
      <c r="A65" t="s">
        <v>48</v>
      </c>
    </row>
    <row r="66" spans="1:8" x14ac:dyDescent="0.3">
      <c r="A66" t="s">
        <v>32</v>
      </c>
      <c r="B66">
        <f>SUMIF(A38:A56,A43,C38:C56)</f>
        <v>7300</v>
      </c>
    </row>
    <row r="67" spans="1:8" x14ac:dyDescent="0.3">
      <c r="A67" t="s">
        <v>29</v>
      </c>
      <c r="B67">
        <f>SUMIF(A38:A56,A38,C38:C56)</f>
        <v>3500</v>
      </c>
    </row>
    <row r="71" spans="1:8" x14ac:dyDescent="0.3">
      <c r="B71" t="s">
        <v>49</v>
      </c>
      <c r="C71" t="s">
        <v>50</v>
      </c>
      <c r="D71" t="s">
        <v>51</v>
      </c>
      <c r="E71" t="s">
        <v>52</v>
      </c>
      <c r="F71" t="s">
        <v>53</v>
      </c>
      <c r="G71" t="s">
        <v>54</v>
      </c>
      <c r="H71" t="s">
        <v>55</v>
      </c>
    </row>
    <row r="72" spans="1:8" x14ac:dyDescent="0.3">
      <c r="B72" t="s">
        <v>56</v>
      </c>
      <c r="C72">
        <v>80</v>
      </c>
      <c r="D72">
        <v>75</v>
      </c>
      <c r="E72">
        <v>85</v>
      </c>
      <c r="F72">
        <f>SUM(C72:E72)</f>
        <v>240</v>
      </c>
      <c r="G72">
        <f>F72/300*100</f>
        <v>80</v>
      </c>
      <c r="H72" t="str">
        <f>IF(G72&gt;=80,"EXCELLENT",IF(G72&gt;=60,"GOOD","BAD"))</f>
        <v>EXCELLENT</v>
      </c>
    </row>
    <row r="73" spans="1:8" x14ac:dyDescent="0.3">
      <c r="B73" t="s">
        <v>57</v>
      </c>
      <c r="C73">
        <v>50</v>
      </c>
      <c r="D73">
        <v>30</v>
      </c>
      <c r="E73">
        <v>40</v>
      </c>
      <c r="F73">
        <f t="shared" ref="F73:F81" si="1">SUM(C73:E73)</f>
        <v>120</v>
      </c>
      <c r="G73">
        <f t="shared" ref="G73:G81" si="2">F73/300*100</f>
        <v>40</v>
      </c>
      <c r="H73" t="str">
        <f t="shared" ref="H73:H81" si="3">IF(G73&gt;=80,"EXCELLENT",IF(G73&gt;=60,"GOOD","BAD"))</f>
        <v>BAD</v>
      </c>
    </row>
    <row r="74" spans="1:8" x14ac:dyDescent="0.3">
      <c r="B74" t="s">
        <v>58</v>
      </c>
      <c r="C74">
        <v>60</v>
      </c>
      <c r="D74">
        <v>70</v>
      </c>
      <c r="E74">
        <v>0</v>
      </c>
      <c r="F74">
        <f t="shared" si="1"/>
        <v>130</v>
      </c>
      <c r="G74">
        <f t="shared" si="2"/>
        <v>43.333333333333336</v>
      </c>
      <c r="H74" t="str">
        <f t="shared" si="3"/>
        <v>BAD</v>
      </c>
    </row>
    <row r="75" spans="1:8" x14ac:dyDescent="0.3">
      <c r="B75" t="s">
        <v>59</v>
      </c>
      <c r="C75">
        <v>90</v>
      </c>
      <c r="D75">
        <v>85</v>
      </c>
      <c r="E75">
        <v>95</v>
      </c>
      <c r="F75">
        <f t="shared" si="1"/>
        <v>270</v>
      </c>
      <c r="G75">
        <f t="shared" si="2"/>
        <v>90</v>
      </c>
      <c r="H75" t="str">
        <f t="shared" si="3"/>
        <v>EXCELLENT</v>
      </c>
    </row>
    <row r="76" spans="1:8" x14ac:dyDescent="0.3">
      <c r="B76" t="s">
        <v>60</v>
      </c>
      <c r="C76">
        <v>20</v>
      </c>
      <c r="D76">
        <v>30</v>
      </c>
      <c r="E76" t="s">
        <v>66</v>
      </c>
      <c r="F76">
        <f t="shared" si="1"/>
        <v>50</v>
      </c>
      <c r="G76">
        <f t="shared" si="2"/>
        <v>16.666666666666664</v>
      </c>
      <c r="H76" t="str">
        <f t="shared" si="3"/>
        <v>BAD</v>
      </c>
    </row>
    <row r="77" spans="1:8" x14ac:dyDescent="0.3">
      <c r="B77" t="s">
        <v>61</v>
      </c>
      <c r="C77">
        <v>40</v>
      </c>
      <c r="D77">
        <v>60</v>
      </c>
      <c r="E77">
        <v>80</v>
      </c>
      <c r="F77">
        <f t="shared" si="1"/>
        <v>180</v>
      </c>
      <c r="G77">
        <f t="shared" si="2"/>
        <v>60</v>
      </c>
      <c r="H77" t="str">
        <f t="shared" si="3"/>
        <v>GOOD</v>
      </c>
    </row>
    <row r="78" spans="1:8" x14ac:dyDescent="0.3">
      <c r="B78" t="s">
        <v>62</v>
      </c>
      <c r="C78">
        <v>10</v>
      </c>
      <c r="D78">
        <v>90</v>
      </c>
      <c r="E78">
        <v>80</v>
      </c>
      <c r="F78">
        <f t="shared" si="1"/>
        <v>180</v>
      </c>
      <c r="G78">
        <f t="shared" si="2"/>
        <v>60</v>
      </c>
      <c r="H78" t="str">
        <f t="shared" si="3"/>
        <v>GOOD</v>
      </c>
    </row>
    <row r="79" spans="1:8" x14ac:dyDescent="0.3">
      <c r="B79" t="s">
        <v>63</v>
      </c>
      <c r="C79">
        <v>80</v>
      </c>
      <c r="D79">
        <v>70</v>
      </c>
      <c r="E79">
        <v>60</v>
      </c>
      <c r="F79">
        <f t="shared" si="1"/>
        <v>210</v>
      </c>
      <c r="G79">
        <f t="shared" si="2"/>
        <v>70</v>
      </c>
      <c r="H79" t="str">
        <f t="shared" si="3"/>
        <v>GOOD</v>
      </c>
    </row>
    <row r="80" spans="1:8" x14ac:dyDescent="0.3">
      <c r="B80" t="s">
        <v>64</v>
      </c>
      <c r="C80">
        <v>30</v>
      </c>
      <c r="D80">
        <v>10</v>
      </c>
      <c r="E80">
        <v>20</v>
      </c>
      <c r="F80">
        <f t="shared" si="1"/>
        <v>60</v>
      </c>
      <c r="G80">
        <f t="shared" si="2"/>
        <v>20</v>
      </c>
      <c r="H80" t="str">
        <f t="shared" si="3"/>
        <v>BAD</v>
      </c>
    </row>
    <row r="81" spans="1:8" x14ac:dyDescent="0.3">
      <c r="B81" t="s">
        <v>65</v>
      </c>
      <c r="C81">
        <v>10</v>
      </c>
      <c r="D81">
        <v>20</v>
      </c>
      <c r="E81">
        <v>30</v>
      </c>
      <c r="F81">
        <f t="shared" si="1"/>
        <v>60</v>
      </c>
      <c r="G81">
        <f t="shared" si="2"/>
        <v>20</v>
      </c>
      <c r="H81" t="str">
        <f t="shared" si="3"/>
        <v>BAD</v>
      </c>
    </row>
    <row r="84" spans="1:8" x14ac:dyDescent="0.3">
      <c r="A84" t="s">
        <v>67</v>
      </c>
    </row>
    <row r="85" spans="1:8" x14ac:dyDescent="0.3">
      <c r="A85">
        <f>COUNTA(B72:B81)</f>
        <v>10</v>
      </c>
    </row>
    <row r="87" spans="1:8" x14ac:dyDescent="0.3">
      <c r="A87" t="s">
        <v>68</v>
      </c>
    </row>
    <row r="88" spans="1:8" x14ac:dyDescent="0.3">
      <c r="A88">
        <f>COUNTIF(G72:G81,"&gt;50")</f>
        <v>5</v>
      </c>
    </row>
    <row r="90" spans="1:8" x14ac:dyDescent="0.3">
      <c r="A90" t="s">
        <v>69</v>
      </c>
    </row>
    <row r="91" spans="1:8" x14ac:dyDescent="0.3">
      <c r="A91" t="s">
        <v>57</v>
      </c>
      <c r="B91">
        <f>SUMIF(B72:B81,B73,F72:F81)</f>
        <v>120</v>
      </c>
    </row>
    <row r="92" spans="1:8" x14ac:dyDescent="0.3">
      <c r="A92" t="s">
        <v>60</v>
      </c>
      <c r="B92">
        <f>SUMIF(B72:B81,B76,F72:F81)</f>
        <v>50</v>
      </c>
    </row>
    <row r="94" spans="1:8" x14ac:dyDescent="0.3">
      <c r="A94" t="s">
        <v>72</v>
      </c>
      <c r="B94" t="s">
        <v>70</v>
      </c>
    </row>
    <row r="97" spans="1:2" x14ac:dyDescent="0.3">
      <c r="A97" t="str" cm="1">
        <f t="array" ref="A97">_xlfn.IFS(G72&gt;70,"EXCELLENT",G72&gt;50,"GOOD",G72&lt;50,"BAD")</f>
        <v>EXCELLENT</v>
      </c>
    </row>
    <row r="98" spans="1:2" x14ac:dyDescent="0.3">
      <c r="A98" t="str" cm="1">
        <f t="array" ref="A98">_xlfn.IFS(G73&gt;70,"EXCELLENT",G73&gt;50,"GOOD",G73&lt;50,"BAD")</f>
        <v>BAD</v>
      </c>
    </row>
    <row r="99" spans="1:2" x14ac:dyDescent="0.3">
      <c r="A99" t="str" cm="1">
        <f t="array" ref="A99">_xlfn.IFS(G74&gt;70,"EXCELLENT",G74&gt;50,"GOOD",G74&lt;50,"BAD")</f>
        <v>BAD</v>
      </c>
    </row>
    <row r="100" spans="1:2" x14ac:dyDescent="0.3">
      <c r="A100" t="str" cm="1">
        <f t="array" ref="A100">_xlfn.IFS(G75&gt;70,"EXCELLENT",G75&gt;50,"GOOD",G75&lt;50,"BAD")</f>
        <v>EXCELLENT</v>
      </c>
    </row>
    <row r="101" spans="1:2" x14ac:dyDescent="0.3">
      <c r="A101" t="str" cm="1">
        <f t="array" ref="A101">_xlfn.IFS(G76&gt;70,"EXCELLENT",G76&gt;50,"GOOD",G76&lt;50,"BAD")</f>
        <v>BAD</v>
      </c>
    </row>
    <row r="102" spans="1:2" x14ac:dyDescent="0.3">
      <c r="A102" t="str" cm="1">
        <f t="array" ref="A102">_xlfn.IFS(G77&gt;70,"EXCELLENT",G77&gt;50,"GOOD",G77&lt;50,"BAD")</f>
        <v>GOOD</v>
      </c>
    </row>
    <row r="103" spans="1:2" x14ac:dyDescent="0.3">
      <c r="A103" t="str" cm="1">
        <f t="array" ref="A103">_xlfn.IFS(G78&gt;70,"EXCELLENT",G78&gt;50,"GOOD",G78&lt;50,"BAD")</f>
        <v>GOOD</v>
      </c>
    </row>
    <row r="104" spans="1:2" x14ac:dyDescent="0.3">
      <c r="A104" t="str" cm="1">
        <f t="array" ref="A104">_xlfn.IFS(G79&gt;70,"EXCELLENT",G79&gt;50,"GOOD",G79&lt;50,"BAD")</f>
        <v>GOOD</v>
      </c>
    </row>
    <row r="105" spans="1:2" x14ac:dyDescent="0.3">
      <c r="A105" t="str" cm="1">
        <f t="array" ref="A105">_xlfn.IFS(G80&gt;70,"EXCELLENT",G80&gt;50,"GOOD",G80&lt;50,"BAD")</f>
        <v>BAD</v>
      </c>
    </row>
    <row r="106" spans="1:2" x14ac:dyDescent="0.3">
      <c r="A106" t="str" cm="1">
        <f t="array" ref="A106">_xlfn.IFS(G81&gt;70,"EXCELLENT",G81&gt;50,"GOOD",G81&lt;50,"BAD")</f>
        <v>BAD</v>
      </c>
    </row>
    <row r="108" spans="1:2" x14ac:dyDescent="0.3">
      <c r="A108" t="s">
        <v>73</v>
      </c>
    </row>
    <row r="109" spans="1:2" x14ac:dyDescent="0.3">
      <c r="A109" t="s">
        <v>74</v>
      </c>
      <c r="B109">
        <f>COUNTIF(H72:H81,H77)</f>
        <v>3</v>
      </c>
    </row>
    <row r="110" spans="1:2" x14ac:dyDescent="0.3">
      <c r="A110" t="s">
        <v>71</v>
      </c>
      <c r="B110">
        <f>COUNTIF(H72:H81,H73)</f>
        <v>5</v>
      </c>
    </row>
  </sheetData>
  <conditionalFormatting sqref="A38:C56">
    <cfRule type="expression" dxfId="1" priority="1">
      <formula>AND($A$38:$A$56="TYERS",$C$38:$C$56&gt;=500,$C$38:$C$56&lt;=2000)</formula>
    </cfRule>
    <cfRule type="expression" dxfId="0" priority="2">
      <formula>AND($A$38="TYERS",$C$38&gt;=500,$C$38&lt;=2000)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Sahana Bhosale</dc:creator>
  <cp:lastModifiedBy>Sahana Bhosale</cp:lastModifiedBy>
  <dcterms:created xsi:type="dcterms:W3CDTF">2026-01-07T05:22:19Z</dcterms:created>
  <dcterms:modified xsi:type="dcterms:W3CDTF">2026-01-07T08:58:53Z</dcterms:modified>
</cp:coreProperties>
</file>