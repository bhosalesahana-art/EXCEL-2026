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hana S B\OneDrive\Desktop\DATA ANALYTICS INTERNSHIP 2026\EXCEL\"/>
    </mc:Choice>
  </mc:AlternateContent>
  <xr:revisionPtr revIDLastSave="0" documentId="8_{924827B6-52E3-4A82-B9C2-2ECA46A70714}" xr6:coauthVersionLast="47" xr6:coauthVersionMax="47" xr10:uidLastSave="{00000000-0000-0000-0000-000000000000}"/>
  <bookViews>
    <workbookView xWindow="-108" yWindow="-108" windowWidth="23256" windowHeight="12456" xr2:uid="{BDD26AC6-A377-425D-8BE6-F2FD4C53E8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8" i="1" l="1" a="1"/>
  <c r="J68" i="1"/>
  <c r="J69" i="1" a="1"/>
  <c r="J69" i="1"/>
  <c r="J70" i="1" a="1"/>
  <c r="J70" i="1"/>
  <c r="J71" i="1" a="1"/>
  <c r="J71" i="1"/>
  <c r="J72" i="1" a="1"/>
  <c r="J72" i="1"/>
  <c r="J73" i="1" a="1"/>
  <c r="J73" i="1"/>
  <c r="J74" i="1" a="1"/>
  <c r="J74" i="1"/>
  <c r="J67" i="1" a="1"/>
  <c r="J67" i="1" s="1"/>
  <c r="C87" i="1"/>
  <c r="C86" i="1"/>
  <c r="C84" i="1"/>
  <c r="C83" i="1"/>
  <c r="C79" i="1"/>
  <c r="A80" i="1"/>
  <c r="A83" i="1"/>
  <c r="A78" i="1"/>
  <c r="I68" i="1"/>
  <c r="I69" i="1"/>
  <c r="I70" i="1"/>
  <c r="I71" i="1"/>
  <c r="I72" i="1"/>
  <c r="I73" i="1"/>
  <c r="I74" i="1"/>
  <c r="I67" i="1"/>
  <c r="H68" i="1"/>
  <c r="H69" i="1"/>
  <c r="H70" i="1"/>
  <c r="H71" i="1"/>
  <c r="H72" i="1"/>
  <c r="H73" i="1"/>
  <c r="H74" i="1"/>
  <c r="H67" i="1"/>
  <c r="G68" i="1"/>
  <c r="G69" i="1"/>
  <c r="G70" i="1"/>
  <c r="G71" i="1"/>
  <c r="G72" i="1"/>
  <c r="G73" i="1"/>
  <c r="G74" i="1"/>
  <c r="G67" i="1"/>
  <c r="F68" i="1"/>
  <c r="F69" i="1"/>
  <c r="F70" i="1"/>
  <c r="F71" i="1"/>
  <c r="F72" i="1"/>
  <c r="F73" i="1"/>
  <c r="F74" i="1"/>
  <c r="F67" i="1"/>
  <c r="E68" i="1"/>
  <c r="E69" i="1"/>
  <c r="E70" i="1"/>
  <c r="E71" i="1"/>
  <c r="E72" i="1"/>
  <c r="E73" i="1"/>
  <c r="E74" i="1"/>
  <c r="E67" i="1"/>
  <c r="C63" i="1"/>
  <c r="C62" i="1"/>
  <c r="B63" i="1"/>
  <c r="B62" i="1"/>
  <c r="B61" i="1"/>
  <c r="C61" i="1"/>
  <c r="C58" i="1"/>
  <c r="B58" i="1"/>
  <c r="C57" i="1"/>
  <c r="K14" i="1"/>
  <c r="K13" i="1"/>
  <c r="K10" i="1"/>
  <c r="K9" i="1"/>
  <c r="B57" i="1"/>
  <c r="C56" i="1"/>
  <c r="B56" i="1"/>
  <c r="B53" i="1"/>
  <c r="K4" i="1"/>
  <c r="B50" i="1"/>
  <c r="G40" i="1"/>
  <c r="G41" i="1"/>
  <c r="G42" i="1"/>
  <c r="G43" i="1"/>
  <c r="G44" i="1"/>
  <c r="G45" i="1"/>
  <c r="G46" i="1"/>
  <c r="G47" i="1"/>
  <c r="G39" i="1"/>
  <c r="F40" i="1"/>
  <c r="F41" i="1"/>
  <c r="F42" i="1"/>
  <c r="F43" i="1"/>
  <c r="F44" i="1"/>
  <c r="F45" i="1"/>
  <c r="F46" i="1"/>
  <c r="F47" i="1"/>
  <c r="F39" i="1"/>
  <c r="E40" i="1"/>
  <c r="E41" i="1"/>
  <c r="E42" i="1"/>
  <c r="E43" i="1"/>
  <c r="E44" i="1"/>
  <c r="E45" i="1"/>
  <c r="E46" i="1"/>
  <c r="E47" i="1"/>
  <c r="E39" i="1"/>
  <c r="H25" i="1"/>
  <c r="C36" i="1"/>
  <c r="B36" i="1"/>
  <c r="F31" i="1"/>
  <c r="F32" i="1"/>
  <c r="F30" i="1"/>
  <c r="F24" i="1"/>
  <c r="F25" i="1"/>
  <c r="F26" i="1"/>
  <c r="F27" i="1"/>
  <c r="F28" i="1"/>
  <c r="F29" i="1"/>
  <c r="F23" i="1"/>
  <c r="E24" i="1"/>
  <c r="E25" i="1"/>
  <c r="E26" i="1"/>
  <c r="E27" i="1"/>
  <c r="E28" i="1"/>
  <c r="E29" i="1"/>
  <c r="E30" i="1"/>
  <c r="E31" i="1"/>
  <c r="E32" i="1"/>
  <c r="E23" i="1"/>
  <c r="C20" i="1"/>
  <c r="B20" i="1"/>
  <c r="C17" i="1"/>
  <c r="B17" i="1"/>
  <c r="B14" i="1"/>
  <c r="K6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<sst xmlns="http://schemas.openxmlformats.org/spreadsheetml/2006/main" count="110" uniqueCount="92">
  <si>
    <t xml:space="preserve">Roll No </t>
  </si>
  <si>
    <t>Student Name</t>
  </si>
  <si>
    <t>Hindi</t>
  </si>
  <si>
    <t>English</t>
  </si>
  <si>
    <t>Math</t>
  </si>
  <si>
    <t>Physics</t>
  </si>
  <si>
    <t>Chemistry</t>
  </si>
  <si>
    <t>Total</t>
  </si>
  <si>
    <t>Average</t>
  </si>
  <si>
    <t>Grade</t>
  </si>
  <si>
    <t>RAM</t>
  </si>
  <si>
    <t>ASHOK</t>
  </si>
  <si>
    <t>MANOJ</t>
  </si>
  <si>
    <t>RAJESH</t>
  </si>
  <si>
    <t>RANJANA</t>
  </si>
  <si>
    <t>POOJA</t>
  </si>
  <si>
    <t>MAHESH</t>
  </si>
  <si>
    <t>ASHUTOSH</t>
  </si>
  <si>
    <t>ANIL</t>
  </si>
  <si>
    <t>PREM</t>
  </si>
  <si>
    <t>NUMBER OF STUDENTS HAVING "A" GRADE</t>
  </si>
  <si>
    <t>NUMBER OF STUDENTS HAVING "B" GRADE</t>
  </si>
  <si>
    <t>TOTAL AND AVERAGE OF ASHOK</t>
  </si>
  <si>
    <t>NO OF STUDENTS</t>
  </si>
  <si>
    <t>STUDENTS HAVING &gt;20 AND &lt;15 IN HINDI</t>
  </si>
  <si>
    <t>STUDENTS HAVING &gt;20 AND &lt;15 IN ENGLISH</t>
  </si>
  <si>
    <t>SRNO</t>
  </si>
  <si>
    <t>ITEMS</t>
  </si>
  <si>
    <t>QTY</t>
  </si>
  <si>
    <t>RATE</t>
  </si>
  <si>
    <t>AMOUNT</t>
  </si>
  <si>
    <t>GRADE</t>
  </si>
  <si>
    <t>AC</t>
  </si>
  <si>
    <t>FRIDGE</t>
  </si>
  <si>
    <t>COOLER</t>
  </si>
  <si>
    <t>WASHING MACHINE</t>
  </si>
  <si>
    <t>TV</t>
  </si>
  <si>
    <t>FAN</t>
  </si>
  <si>
    <t>COMPUTER</t>
  </si>
  <si>
    <t>KEYBOARD</t>
  </si>
  <si>
    <t>MOUSE</t>
  </si>
  <si>
    <t>PRINTER</t>
  </si>
  <si>
    <t xml:space="preserve">ITEMS QTY &gt;20 </t>
  </si>
  <si>
    <t>&lt;20</t>
  </si>
  <si>
    <t>SUBJECT</t>
  </si>
  <si>
    <t>1ST</t>
  </si>
  <si>
    <t>2ND</t>
  </si>
  <si>
    <t>3RD</t>
  </si>
  <si>
    <t>TOTAL</t>
  </si>
  <si>
    <t>AVERAGE</t>
  </si>
  <si>
    <t>HINDI</t>
  </si>
  <si>
    <t>ENGLISH</t>
  </si>
  <si>
    <t>MATH</t>
  </si>
  <si>
    <t>PHYSICS</t>
  </si>
  <si>
    <t>CHEMISTRY</t>
  </si>
  <si>
    <t>HISTORY</t>
  </si>
  <si>
    <t>GEO</t>
  </si>
  <si>
    <t>BIO</t>
  </si>
  <si>
    <t>BOTANY</t>
  </si>
  <si>
    <t>NO OF SUBJECTS</t>
  </si>
  <si>
    <t>IN 1ST PAPER &gt;20</t>
  </si>
  <si>
    <t>HINDI /MATHS/ENGLISH TOTAL AND GRADE</t>
  </si>
  <si>
    <t>MATHS</t>
  </si>
  <si>
    <t>TOTAL AND AVERAGE OF MANOJ</t>
  </si>
  <si>
    <t>TOTAL AND AVERAGE OF PHY/MATH/ENG</t>
  </si>
  <si>
    <t>PHY</t>
  </si>
  <si>
    <t>NAME</t>
  </si>
  <si>
    <t>DEPARTMENT</t>
  </si>
  <si>
    <t>POST</t>
  </si>
  <si>
    <t>BASIC</t>
  </si>
  <si>
    <t>DA 2.5%</t>
  </si>
  <si>
    <t>HRA 3.5%</t>
  </si>
  <si>
    <t>PF 1.5%</t>
  </si>
  <si>
    <t>SHYAM</t>
  </si>
  <si>
    <t>RAHUL</t>
  </si>
  <si>
    <t>RAKESH</t>
  </si>
  <si>
    <t>ASHISH</t>
  </si>
  <si>
    <t>MANISH</t>
  </si>
  <si>
    <t>ELECTRICAL</t>
  </si>
  <si>
    <t>FINANCE</t>
  </si>
  <si>
    <t>MANAGER</t>
  </si>
  <si>
    <t>SUPERVISOR</t>
  </si>
  <si>
    <t>PION</t>
  </si>
  <si>
    <t>GUARD</t>
  </si>
  <si>
    <t>CASHER</t>
  </si>
  <si>
    <t>ACCOUNTANT</t>
  </si>
  <si>
    <t>EMP IN COMPUTER</t>
  </si>
  <si>
    <t>EMP IN FINANCE</t>
  </si>
  <si>
    <t>EMP IN ELECTRICAL</t>
  </si>
  <si>
    <t>SALARY IN COMPUTER</t>
  </si>
  <si>
    <t>MANOJ POST AND  GRADE</t>
  </si>
  <si>
    <t>ASHISH POST AND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</si>
</sst>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5C93-78D6-456D-A448-623D1C3A1BF1}">
  <dimension ref="A1:O87"/>
  <sheetViews>
    <sheetView tabSelected="1" topLeftCell="A52" workbookViewId="0">
      <selection activeCell="J67" sqref="J67:J74"/>
    </sheetView>
  </sheetViews>
  <sheetFormatPr defaultRowHeight="14.4" x14ac:dyDescent="0.3"/>
  <cols>
    <col min="1" max="1" width="20.33203125" customWidth="1"/>
    <col min="2" max="2" width="21.109375" customWidth="1"/>
    <col min="3" max="3" width="19" customWidth="1"/>
    <col min="6" max="6" width="12" customWidth="1"/>
    <col min="7" max="7" width="10" customWidth="1"/>
    <col min="8" max="8" width="13.441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5" x14ac:dyDescent="0.3">
      <c r="A2">
        <v>1</v>
      </c>
      <c r="B2" t="s">
        <v>10</v>
      </c>
      <c r="C2">
        <v>20</v>
      </c>
      <c r="D2">
        <v>10</v>
      </c>
      <c r="E2">
        <v>14</v>
      </c>
      <c r="F2">
        <v>18</v>
      </c>
      <c r="G2">
        <v>15</v>
      </c>
      <c r="H2">
        <f>SUM(C2:G2)</f>
        <v>77</v>
      </c>
      <c r="I2">
        <f>AVERAGE(C2:G2)</f>
        <v>15.4</v>
      </c>
      <c r="J2" t="str">
        <f>IF(H2&gt;=75,"A",IF(H2&gt;=60,"B",IF(H2&gt;=40,"C","FAIL")))</f>
        <v>A</v>
      </c>
    </row>
    <row r="3" spans="1:15" x14ac:dyDescent="0.3">
      <c r="A3">
        <v>2</v>
      </c>
      <c r="B3" t="s">
        <v>11</v>
      </c>
      <c r="C3">
        <v>21</v>
      </c>
      <c r="D3">
        <v>12</v>
      </c>
      <c r="E3">
        <v>14</v>
      </c>
      <c r="F3">
        <v>12</v>
      </c>
      <c r="G3">
        <v>18</v>
      </c>
      <c r="H3">
        <f t="shared" ref="H3:H11" si="0">SUM(C3:G3)</f>
        <v>77</v>
      </c>
      <c r="I3">
        <f t="shared" ref="I3:I11" si="1">AVERAGE(C3:G3)</f>
        <v>15.4</v>
      </c>
      <c r="J3" t="str">
        <f t="shared" ref="J3:J11" si="2">IF(H3&gt;=75,"A",IF(H3&gt;=60,"B",IF(H3&gt;=40,"C","FAIL")))</f>
        <v>A</v>
      </c>
      <c r="K3" s="1" t="s">
        <v>20</v>
      </c>
      <c r="L3" s="1"/>
      <c r="M3" s="1"/>
      <c r="N3" s="1"/>
      <c r="O3" s="1"/>
    </row>
    <row r="4" spans="1:15" x14ac:dyDescent="0.3">
      <c r="A4">
        <v>3</v>
      </c>
      <c r="B4" t="s">
        <v>12</v>
      </c>
      <c r="C4">
        <v>33</v>
      </c>
      <c r="D4">
        <v>15</v>
      </c>
      <c r="E4">
        <v>7</v>
      </c>
      <c r="F4">
        <v>14</v>
      </c>
      <c r="G4">
        <v>17</v>
      </c>
      <c r="H4">
        <f t="shared" si="0"/>
        <v>86</v>
      </c>
      <c r="I4">
        <f t="shared" si="1"/>
        <v>17.2</v>
      </c>
      <c r="J4" t="str">
        <f t="shared" si="2"/>
        <v>A</v>
      </c>
      <c r="K4">
        <f>COUNTIF(J2:J11,"A")</f>
        <v>6</v>
      </c>
    </row>
    <row r="5" spans="1:15" x14ac:dyDescent="0.3">
      <c r="A5">
        <v>4</v>
      </c>
      <c r="B5" t="s">
        <v>13</v>
      </c>
      <c r="C5">
        <v>15</v>
      </c>
      <c r="D5">
        <v>14</v>
      </c>
      <c r="E5">
        <v>8</v>
      </c>
      <c r="F5">
        <v>16</v>
      </c>
      <c r="G5">
        <v>20</v>
      </c>
      <c r="H5">
        <f t="shared" si="0"/>
        <v>73</v>
      </c>
      <c r="I5">
        <f t="shared" si="1"/>
        <v>14.6</v>
      </c>
      <c r="J5" t="str">
        <f t="shared" si="2"/>
        <v>B</v>
      </c>
      <c r="K5" s="1" t="s">
        <v>21</v>
      </c>
      <c r="L5" s="1"/>
      <c r="M5" s="1"/>
      <c r="N5" s="1"/>
      <c r="O5" s="1"/>
    </row>
    <row r="6" spans="1:15" x14ac:dyDescent="0.3">
      <c r="A6">
        <v>5</v>
      </c>
      <c r="B6" t="s">
        <v>14</v>
      </c>
      <c r="C6">
        <v>14</v>
      </c>
      <c r="D6">
        <v>17</v>
      </c>
      <c r="E6">
        <v>10</v>
      </c>
      <c r="F6">
        <v>13</v>
      </c>
      <c r="G6">
        <v>18</v>
      </c>
      <c r="H6">
        <f t="shared" si="0"/>
        <v>72</v>
      </c>
      <c r="I6">
        <f t="shared" si="1"/>
        <v>14.4</v>
      </c>
      <c r="J6" t="str">
        <f t="shared" si="2"/>
        <v>B</v>
      </c>
      <c r="K6">
        <f>COUNTIF(J2:J11,"B")</f>
        <v>4</v>
      </c>
    </row>
    <row r="7" spans="1:15" x14ac:dyDescent="0.3">
      <c r="A7">
        <v>6</v>
      </c>
      <c r="B7" t="s">
        <v>15</v>
      </c>
      <c r="C7">
        <v>16</v>
      </c>
      <c r="D7">
        <v>8</v>
      </c>
      <c r="E7">
        <v>20</v>
      </c>
      <c r="F7">
        <v>17</v>
      </c>
      <c r="G7">
        <v>15</v>
      </c>
      <c r="H7">
        <f t="shared" si="0"/>
        <v>76</v>
      </c>
      <c r="I7">
        <f t="shared" si="1"/>
        <v>15.2</v>
      </c>
      <c r="J7" t="str">
        <f t="shared" si="2"/>
        <v>A</v>
      </c>
    </row>
    <row r="8" spans="1:15" x14ac:dyDescent="0.3">
      <c r="A8">
        <v>7</v>
      </c>
      <c r="B8" t="s">
        <v>16</v>
      </c>
      <c r="C8">
        <v>18</v>
      </c>
      <c r="D8">
        <v>19</v>
      </c>
      <c r="E8">
        <v>3</v>
      </c>
      <c r="F8">
        <v>10</v>
      </c>
      <c r="G8">
        <v>14</v>
      </c>
      <c r="H8">
        <f t="shared" si="0"/>
        <v>64</v>
      </c>
      <c r="I8">
        <f t="shared" si="1"/>
        <v>12.8</v>
      </c>
      <c r="J8" t="str">
        <f t="shared" si="2"/>
        <v>B</v>
      </c>
      <c r="K8" t="s">
        <v>22</v>
      </c>
    </row>
    <row r="9" spans="1:15" x14ac:dyDescent="0.3">
      <c r="A9">
        <v>8</v>
      </c>
      <c r="B9" t="s">
        <v>17</v>
      </c>
      <c r="C9">
        <v>19</v>
      </c>
      <c r="D9">
        <v>20</v>
      </c>
      <c r="E9">
        <v>7</v>
      </c>
      <c r="F9">
        <v>14</v>
      </c>
      <c r="G9">
        <v>18</v>
      </c>
      <c r="H9">
        <f t="shared" si="0"/>
        <v>78</v>
      </c>
      <c r="I9">
        <f t="shared" si="1"/>
        <v>15.6</v>
      </c>
      <c r="J9" t="str">
        <f t="shared" si="2"/>
        <v>A</v>
      </c>
      <c r="K9">
        <f>SUMIF(B2:B11,"ASHOK",H2:H11)</f>
        <v>77</v>
      </c>
    </row>
    <row r="10" spans="1:15" x14ac:dyDescent="0.3">
      <c r="A10">
        <v>9</v>
      </c>
      <c r="B10" t="s">
        <v>18</v>
      </c>
      <c r="C10">
        <v>22</v>
      </c>
      <c r="D10">
        <v>13</v>
      </c>
      <c r="E10">
        <v>8</v>
      </c>
      <c r="F10">
        <v>12</v>
      </c>
      <c r="G10">
        <v>19</v>
      </c>
      <c r="H10">
        <f t="shared" si="0"/>
        <v>74</v>
      </c>
      <c r="I10">
        <f t="shared" si="1"/>
        <v>14.8</v>
      </c>
      <c r="J10" t="str">
        <f t="shared" si="2"/>
        <v>B</v>
      </c>
      <c r="K10">
        <f>SUMIF(B2:B11,"ASHOK",I2:I11)</f>
        <v>15.4</v>
      </c>
    </row>
    <row r="11" spans="1:15" x14ac:dyDescent="0.3">
      <c r="A11">
        <v>10</v>
      </c>
      <c r="B11" t="s">
        <v>19</v>
      </c>
      <c r="C11">
        <v>26</v>
      </c>
      <c r="D11">
        <v>12</v>
      </c>
      <c r="E11">
        <v>10</v>
      </c>
      <c r="F11">
        <v>11</v>
      </c>
      <c r="G11">
        <v>27</v>
      </c>
      <c r="H11">
        <f t="shared" si="0"/>
        <v>86</v>
      </c>
      <c r="I11">
        <f t="shared" si="1"/>
        <v>17.2</v>
      </c>
      <c r="J11" t="str">
        <f t="shared" si="2"/>
        <v>A</v>
      </c>
    </row>
    <row r="12" spans="1:15" x14ac:dyDescent="0.3">
      <c r="K12" t="s">
        <v>63</v>
      </c>
    </row>
    <row r="13" spans="1:15" x14ac:dyDescent="0.3">
      <c r="B13" t="s">
        <v>23</v>
      </c>
      <c r="K13">
        <f>SUMIF(B2:B11,"MANOJ",H2:H11)</f>
        <v>86</v>
      </c>
    </row>
    <row r="14" spans="1:15" x14ac:dyDescent="0.3">
      <c r="B14">
        <f>COUNTA(A2:A11)</f>
        <v>10</v>
      </c>
      <c r="K14">
        <f>SUMIF(B2:B11,"MANOJ",I2:I11)</f>
        <v>17.2</v>
      </c>
    </row>
    <row r="16" spans="1:15" x14ac:dyDescent="0.3">
      <c r="B16" t="s">
        <v>24</v>
      </c>
    </row>
    <row r="17" spans="1:8" x14ac:dyDescent="0.3">
      <c r="B17">
        <f>COUNTIF(C2:C11,"&gt;20")</f>
        <v>4</v>
      </c>
      <c r="C17">
        <f>COUNTIF(C2:C11,"&lt;15")</f>
        <v>1</v>
      </c>
    </row>
    <row r="19" spans="1:8" x14ac:dyDescent="0.3">
      <c r="B19" t="s">
        <v>25</v>
      </c>
    </row>
    <row r="20" spans="1:8" x14ac:dyDescent="0.3">
      <c r="B20">
        <f>COUNTIF(D2:D11,"&gt;20")</f>
        <v>0</v>
      </c>
      <c r="C20">
        <f>COUNTIF(D2:D11,"&lt;15")</f>
        <v>6</v>
      </c>
    </row>
    <row r="22" spans="1:8" x14ac:dyDescent="0.3">
      <c r="A22" t="s">
        <v>26</v>
      </c>
      <c r="B22" t="s">
        <v>27</v>
      </c>
      <c r="C22" t="s">
        <v>28</v>
      </c>
      <c r="D22" t="s">
        <v>29</v>
      </c>
      <c r="E22" t="s">
        <v>30</v>
      </c>
      <c r="F22" t="s">
        <v>31</v>
      </c>
    </row>
    <row r="23" spans="1:8" x14ac:dyDescent="0.3">
      <c r="A23">
        <v>1</v>
      </c>
      <c r="B23" t="s">
        <v>32</v>
      </c>
      <c r="C23">
        <v>20</v>
      </c>
      <c r="D23">
        <v>40000</v>
      </c>
      <c r="E23">
        <f>PRODUCT(C23*D23)</f>
        <v>800000</v>
      </c>
      <c r="F23" t="str">
        <f>IF(E23&gt;=55000,"EXPENSIVE",IF(E23&gt;=10000,"AFORDABLE",IF(E23&lt;=1000,"CHEAP")))</f>
        <v>EXPENSIVE</v>
      </c>
    </row>
    <row r="24" spans="1:8" x14ac:dyDescent="0.3">
      <c r="A24">
        <v>2</v>
      </c>
      <c r="B24" t="s">
        <v>33</v>
      </c>
      <c r="C24">
        <v>30</v>
      </c>
      <c r="D24">
        <v>20000</v>
      </c>
      <c r="E24">
        <f t="shared" ref="E24:E32" si="3">PRODUCT(C24*D24)</f>
        <v>600000</v>
      </c>
      <c r="F24" t="str">
        <f t="shared" ref="F24:F32" si="4">IF(E24&gt;=55000,"EXPENSIVE",IF(E24&gt;=10000,"AFORDABLE",IF(E24&lt;=1000,"CHEAP")))</f>
        <v>EXPENSIVE</v>
      </c>
    </row>
    <row r="25" spans="1:8" x14ac:dyDescent="0.3">
      <c r="A25">
        <v>3</v>
      </c>
      <c r="B25" t="s">
        <v>34</v>
      </c>
      <c r="C25">
        <v>15</v>
      </c>
      <c r="D25">
        <v>10000</v>
      </c>
      <c r="E25">
        <f t="shared" si="3"/>
        <v>150000</v>
      </c>
      <c r="F25" t="str">
        <f t="shared" si="4"/>
        <v>EXPENSIVE</v>
      </c>
      <c r="H25">
        <f>COUNTA(B23:B32)</f>
        <v>10</v>
      </c>
    </row>
    <row r="26" spans="1:8" x14ac:dyDescent="0.3">
      <c r="A26">
        <v>4</v>
      </c>
      <c r="B26" t="s">
        <v>35</v>
      </c>
      <c r="C26">
        <v>14</v>
      </c>
      <c r="D26">
        <v>15000</v>
      </c>
      <c r="E26">
        <f t="shared" si="3"/>
        <v>210000</v>
      </c>
      <c r="F26" t="str">
        <f t="shared" si="4"/>
        <v>EXPENSIVE</v>
      </c>
    </row>
    <row r="27" spans="1:8" x14ac:dyDescent="0.3">
      <c r="A27">
        <v>5</v>
      </c>
      <c r="B27" t="s">
        <v>36</v>
      </c>
      <c r="C27">
        <v>18</v>
      </c>
      <c r="D27">
        <v>20000</v>
      </c>
      <c r="E27">
        <f t="shared" si="3"/>
        <v>360000</v>
      </c>
      <c r="F27" t="str">
        <f t="shared" si="4"/>
        <v>EXPENSIVE</v>
      </c>
    </row>
    <row r="28" spans="1:8" x14ac:dyDescent="0.3">
      <c r="A28">
        <v>6</v>
      </c>
      <c r="B28" t="s">
        <v>37</v>
      </c>
      <c r="C28">
        <v>17</v>
      </c>
      <c r="D28">
        <v>2000</v>
      </c>
      <c r="E28">
        <f t="shared" si="3"/>
        <v>34000</v>
      </c>
      <c r="F28" t="str">
        <f t="shared" si="4"/>
        <v>AFORDABLE</v>
      </c>
    </row>
    <row r="29" spans="1:8" x14ac:dyDescent="0.3">
      <c r="A29">
        <v>7</v>
      </c>
      <c r="B29" t="s">
        <v>38</v>
      </c>
      <c r="C29">
        <v>10</v>
      </c>
      <c r="D29">
        <v>25000</v>
      </c>
      <c r="E29">
        <f t="shared" si="3"/>
        <v>250000</v>
      </c>
      <c r="F29" t="str">
        <f t="shared" si="4"/>
        <v>EXPENSIVE</v>
      </c>
    </row>
    <row r="30" spans="1:8" x14ac:dyDescent="0.3">
      <c r="A30">
        <v>8</v>
      </c>
      <c r="B30" t="s">
        <v>39</v>
      </c>
      <c r="C30">
        <v>5</v>
      </c>
      <c r="D30">
        <v>250</v>
      </c>
      <c r="E30">
        <f t="shared" si="3"/>
        <v>1250</v>
      </c>
      <c r="F30" t="str">
        <f>IF(E30&gt;=55000,"EXPENSIVE",IF(E30&gt;=10000,"AFORDABLE",IF(E30&gt;=1000,"CHEAP")))</f>
        <v>CHEAP</v>
      </c>
    </row>
    <row r="31" spans="1:8" x14ac:dyDescent="0.3">
      <c r="A31">
        <v>9</v>
      </c>
      <c r="B31" t="s">
        <v>40</v>
      </c>
      <c r="C31">
        <v>25</v>
      </c>
      <c r="D31">
        <v>100</v>
      </c>
      <c r="E31">
        <f t="shared" si="3"/>
        <v>2500</v>
      </c>
      <c r="F31" t="str">
        <f>IF(E31&gt;=55000,"EXPENSIVE",IF(E31&gt;=10000,"AFORDABLE",IF(E31&gt;=1000,"CHEAP")))</f>
        <v>CHEAP</v>
      </c>
    </row>
    <row r="32" spans="1:8" x14ac:dyDescent="0.3">
      <c r="A32">
        <v>10</v>
      </c>
      <c r="B32" t="s">
        <v>41</v>
      </c>
      <c r="C32">
        <v>30</v>
      </c>
      <c r="D32">
        <v>12000</v>
      </c>
      <c r="E32">
        <f t="shared" si="3"/>
        <v>360000</v>
      </c>
      <c r="F32" t="str">
        <f t="shared" si="4"/>
        <v>EXPENSIVE</v>
      </c>
    </row>
    <row r="35" spans="1:7" x14ac:dyDescent="0.3">
      <c r="B35" t="s">
        <v>42</v>
      </c>
      <c r="C35" t="s">
        <v>43</v>
      </c>
    </row>
    <row r="36" spans="1:7" x14ac:dyDescent="0.3">
      <c r="B36">
        <f>COUNTIF(C23:C32,"&gt;20")</f>
        <v>3</v>
      </c>
      <c r="C36">
        <f>COUNTIF(C23:C32,"&lt;20")</f>
        <v>6</v>
      </c>
    </row>
    <row r="38" spans="1:7" x14ac:dyDescent="0.3">
      <c r="A38" t="s">
        <v>44</v>
      </c>
      <c r="B38" t="s">
        <v>45</v>
      </c>
      <c r="C38" t="s">
        <v>46</v>
      </c>
      <c r="D38" t="s">
        <v>47</v>
      </c>
      <c r="E38" t="s">
        <v>48</v>
      </c>
      <c r="F38" t="s">
        <v>49</v>
      </c>
      <c r="G38" t="s">
        <v>31</v>
      </c>
    </row>
    <row r="39" spans="1:7" x14ac:dyDescent="0.3">
      <c r="A39" t="s">
        <v>50</v>
      </c>
      <c r="B39">
        <v>20</v>
      </c>
      <c r="C39">
        <v>15</v>
      </c>
      <c r="D39">
        <v>20</v>
      </c>
      <c r="E39">
        <f>SUM(B39:D39)</f>
        <v>55</v>
      </c>
      <c r="F39">
        <f>AVERAGE(B39:D39)</f>
        <v>18.333333333333332</v>
      </c>
      <c r="G39" t="str">
        <f>IF(E39&gt;=75,"A",IF(E39&gt;=55,"B",IF(E39&gt;=35,"C","FAIL")))</f>
        <v>B</v>
      </c>
    </row>
    <row r="40" spans="1:7" x14ac:dyDescent="0.3">
      <c r="A40" t="s">
        <v>51</v>
      </c>
      <c r="B40">
        <v>30</v>
      </c>
      <c r="C40">
        <v>12</v>
      </c>
      <c r="D40">
        <v>15</v>
      </c>
      <c r="E40">
        <f t="shared" ref="E40:E47" si="5">SUM(B40:D40)</f>
        <v>57</v>
      </c>
      <c r="F40">
        <f t="shared" ref="F40:F47" si="6">AVERAGE(B40:D40)</f>
        <v>19</v>
      </c>
      <c r="G40" t="str">
        <f t="shared" ref="G40:G47" si="7">IF(E40&gt;=75,"A",IF(E40&gt;=55,"B",IF(E40&gt;=35,"C","FAIL")))</f>
        <v>B</v>
      </c>
    </row>
    <row r="41" spans="1:7" x14ac:dyDescent="0.3">
      <c r="A41" t="s">
        <v>52</v>
      </c>
      <c r="B41">
        <v>15</v>
      </c>
      <c r="C41">
        <v>14</v>
      </c>
      <c r="D41">
        <v>14</v>
      </c>
      <c r="E41">
        <f t="shared" si="5"/>
        <v>43</v>
      </c>
      <c r="F41">
        <f t="shared" si="6"/>
        <v>14.333333333333334</v>
      </c>
      <c r="G41" t="str">
        <f t="shared" si="7"/>
        <v>C</v>
      </c>
    </row>
    <row r="42" spans="1:7" x14ac:dyDescent="0.3">
      <c r="A42" t="s">
        <v>53</v>
      </c>
      <c r="B42">
        <v>12</v>
      </c>
      <c r="C42">
        <v>17</v>
      </c>
      <c r="D42">
        <v>17</v>
      </c>
      <c r="E42">
        <f t="shared" si="5"/>
        <v>46</v>
      </c>
      <c r="F42">
        <f t="shared" si="6"/>
        <v>15.333333333333334</v>
      </c>
      <c r="G42" t="str">
        <f t="shared" si="7"/>
        <v>C</v>
      </c>
    </row>
    <row r="43" spans="1:7" x14ac:dyDescent="0.3">
      <c r="A43" t="s">
        <v>54</v>
      </c>
      <c r="B43">
        <v>14</v>
      </c>
      <c r="C43">
        <v>18</v>
      </c>
      <c r="D43">
        <v>18</v>
      </c>
      <c r="E43">
        <f t="shared" si="5"/>
        <v>50</v>
      </c>
      <c r="F43">
        <f t="shared" si="6"/>
        <v>16.666666666666668</v>
      </c>
      <c r="G43" t="str">
        <f t="shared" si="7"/>
        <v>C</v>
      </c>
    </row>
    <row r="44" spans="1:7" x14ac:dyDescent="0.3">
      <c r="A44" t="s">
        <v>55</v>
      </c>
      <c r="B44">
        <v>16</v>
      </c>
      <c r="C44">
        <v>25</v>
      </c>
      <c r="D44">
        <v>20</v>
      </c>
      <c r="E44">
        <f t="shared" si="5"/>
        <v>61</v>
      </c>
      <c r="F44">
        <f t="shared" si="6"/>
        <v>20.333333333333332</v>
      </c>
      <c r="G44" t="str">
        <f t="shared" si="7"/>
        <v>B</v>
      </c>
    </row>
    <row r="45" spans="1:7" x14ac:dyDescent="0.3">
      <c r="A45" t="s">
        <v>56</v>
      </c>
      <c r="B45">
        <v>18</v>
      </c>
      <c r="C45">
        <v>21</v>
      </c>
      <c r="D45">
        <v>22</v>
      </c>
      <c r="E45">
        <f t="shared" si="5"/>
        <v>61</v>
      </c>
      <c r="F45">
        <f t="shared" si="6"/>
        <v>20.333333333333332</v>
      </c>
      <c r="G45" t="str">
        <f t="shared" si="7"/>
        <v>B</v>
      </c>
    </row>
    <row r="46" spans="1:7" x14ac:dyDescent="0.3">
      <c r="A46" t="s">
        <v>57</v>
      </c>
      <c r="B46">
        <v>17</v>
      </c>
      <c r="C46">
        <v>23</v>
      </c>
      <c r="D46">
        <v>13</v>
      </c>
      <c r="E46">
        <f t="shared" si="5"/>
        <v>53</v>
      </c>
      <c r="F46">
        <f t="shared" si="6"/>
        <v>17.666666666666668</v>
      </c>
      <c r="G46" t="str">
        <f t="shared" si="7"/>
        <v>C</v>
      </c>
    </row>
    <row r="47" spans="1:7" x14ac:dyDescent="0.3">
      <c r="A47" t="s">
        <v>58</v>
      </c>
      <c r="B47">
        <v>20</v>
      </c>
      <c r="C47">
        <v>25</v>
      </c>
      <c r="D47">
        <v>25</v>
      </c>
      <c r="E47">
        <f t="shared" si="5"/>
        <v>70</v>
      </c>
      <c r="F47">
        <f t="shared" si="6"/>
        <v>23.333333333333332</v>
      </c>
      <c r="G47" t="str">
        <f t="shared" si="7"/>
        <v>B</v>
      </c>
    </row>
    <row r="49" spans="1:3" x14ac:dyDescent="0.3">
      <c r="B49" t="s">
        <v>59</v>
      </c>
    </row>
    <row r="50" spans="1:3" x14ac:dyDescent="0.3">
      <c r="B50">
        <f>COUNTA(A39:A47)</f>
        <v>9</v>
      </c>
    </row>
    <row r="52" spans="1:3" x14ac:dyDescent="0.3">
      <c r="B52" t="s">
        <v>60</v>
      </c>
    </row>
    <row r="53" spans="1:3" x14ac:dyDescent="0.3">
      <c r="B53">
        <f>COUNTIF(B39:B47,"&gt;20")</f>
        <v>1</v>
      </c>
    </row>
    <row r="55" spans="1:3" x14ac:dyDescent="0.3">
      <c r="B55" t="s">
        <v>61</v>
      </c>
    </row>
    <row r="56" spans="1:3" x14ac:dyDescent="0.3">
      <c r="A56" t="s">
        <v>50</v>
      </c>
      <c r="B56">
        <f>VLOOKUP(A39,A38:G47,5,)</f>
        <v>55</v>
      </c>
      <c r="C56" t="str">
        <f>VLOOKUP(A39,A38:G47,7,)</f>
        <v>B</v>
      </c>
    </row>
    <row r="57" spans="1:3" x14ac:dyDescent="0.3">
      <c r="A57" t="s">
        <v>62</v>
      </c>
      <c r="B57">
        <f>VLOOKUP(A41,A38:G47,5,)</f>
        <v>43</v>
      </c>
      <c r="C57" t="str">
        <f>VLOOKUP(A41,A38:G47,7,)</f>
        <v>C</v>
      </c>
    </row>
    <row r="58" spans="1:3" x14ac:dyDescent="0.3">
      <c r="A58" t="s">
        <v>51</v>
      </c>
      <c r="B58">
        <f>VLOOKUP(A40,A38:G47,5,)</f>
        <v>57</v>
      </c>
      <c r="C58" t="str">
        <f>VLOOKUP(A40,A38:G47,7,)</f>
        <v>B</v>
      </c>
    </row>
    <row r="60" spans="1:3" x14ac:dyDescent="0.3">
      <c r="B60" t="s">
        <v>64</v>
      </c>
    </row>
    <row r="61" spans="1:3" x14ac:dyDescent="0.3">
      <c r="A61" t="s">
        <v>65</v>
      </c>
      <c r="B61">
        <f>VLOOKUP(A42,A38:G47,5,)</f>
        <v>46</v>
      </c>
      <c r="C61">
        <f>VLOOKUP(A42,A38:G47,6,)</f>
        <v>15.333333333333334</v>
      </c>
    </row>
    <row r="62" spans="1:3" x14ac:dyDescent="0.3">
      <c r="A62" t="s">
        <v>52</v>
      </c>
      <c r="B62">
        <f>VLOOKUP(A41,A38:G47,5,)</f>
        <v>43</v>
      </c>
      <c r="C62">
        <f>VLOOKUP(A41,A38:G47,6,)</f>
        <v>14.333333333333334</v>
      </c>
    </row>
    <row r="63" spans="1:3" x14ac:dyDescent="0.3">
      <c r="A63" t="s">
        <v>51</v>
      </c>
      <c r="B63">
        <f>VLOOKUP(A40,A38:G47,5,)</f>
        <v>57</v>
      </c>
      <c r="C63">
        <f>VLOOKUP(A40,A38:G47,6,)</f>
        <v>19</v>
      </c>
    </row>
    <row r="66" spans="1:10" x14ac:dyDescent="0.3">
      <c r="A66" t="s">
        <v>66</v>
      </c>
      <c r="B66" t="s">
        <v>67</v>
      </c>
      <c r="C66" t="s">
        <v>68</v>
      </c>
      <c r="D66" t="s">
        <v>69</v>
      </c>
      <c r="E66" t="s">
        <v>70</v>
      </c>
      <c r="F66" t="s">
        <v>71</v>
      </c>
      <c r="G66" t="s">
        <v>72</v>
      </c>
      <c r="H66" t="s">
        <v>48</v>
      </c>
      <c r="I66" t="s">
        <v>31</v>
      </c>
    </row>
    <row r="67" spans="1:10" x14ac:dyDescent="0.3">
      <c r="A67" t="s">
        <v>10</v>
      </c>
      <c r="B67" t="s">
        <v>38</v>
      </c>
      <c r="C67" t="s">
        <v>80</v>
      </c>
      <c r="D67">
        <v>5000</v>
      </c>
      <c r="E67">
        <f>D67*2.5%</f>
        <v>125</v>
      </c>
      <c r="F67">
        <f>D67*3.5%</f>
        <v>175.00000000000003</v>
      </c>
      <c r="G67">
        <f>D67*1.5%</f>
        <v>75</v>
      </c>
      <c r="H67">
        <f>SUM(D67:G67)</f>
        <v>5375</v>
      </c>
      <c r="I67" t="str">
        <f>IF(H67&gt;=10000,"A",IF(H67&gt;=5000,"B",IF(H67&gt;=1000,"C")))</f>
        <v>B</v>
      </c>
      <c r="J67" t="str" cm="1">
        <f t="array" ref="J67">_xlfn.IFS(H67&gt;20000,"A",H67&gt;10000,"B",H67&lt;10000,"C")</f>
        <v>C</v>
      </c>
    </row>
    <row r="68" spans="1:10" x14ac:dyDescent="0.3">
      <c r="A68" t="s">
        <v>73</v>
      </c>
      <c r="B68" t="s">
        <v>38</v>
      </c>
      <c r="C68" t="s">
        <v>81</v>
      </c>
      <c r="D68">
        <v>8000</v>
      </c>
      <c r="E68">
        <f t="shared" ref="E68:E74" si="8">D68*2.5%</f>
        <v>200</v>
      </c>
      <c r="F68">
        <f t="shared" ref="F68:F74" si="9">D68*3.5%</f>
        <v>280</v>
      </c>
      <c r="G68">
        <f t="shared" ref="G68:G74" si="10">D68*1.5%</f>
        <v>120</v>
      </c>
      <c r="H68">
        <f t="shared" ref="H68:H74" si="11">SUM(D68:G68)</f>
        <v>8600</v>
      </c>
      <c r="I68" t="str">
        <f t="shared" ref="I68:I74" si="12">IF(H68&gt;=10000,"A",IF(H68&gt;=5000,"B",IF(H68&gt;=1000,"C")))</f>
        <v>B</v>
      </c>
      <c r="J68" t="str" cm="1">
        <f t="array" ref="J68">_xlfn.IFS(H68&gt;20000,"A",H68&gt;10000,"B",H68&lt;10000,"C")</f>
        <v>C</v>
      </c>
    </row>
    <row r="69" spans="1:10" x14ac:dyDescent="0.3">
      <c r="A69" t="s">
        <v>12</v>
      </c>
      <c r="B69" t="s">
        <v>38</v>
      </c>
      <c r="C69" t="s">
        <v>82</v>
      </c>
      <c r="D69">
        <v>3000</v>
      </c>
      <c r="E69">
        <f t="shared" si="8"/>
        <v>75</v>
      </c>
      <c r="F69">
        <f t="shared" si="9"/>
        <v>105.00000000000001</v>
      </c>
      <c r="G69">
        <f t="shared" si="10"/>
        <v>45</v>
      </c>
      <c r="H69">
        <f t="shared" si="11"/>
        <v>3225</v>
      </c>
      <c r="I69" t="str">
        <f t="shared" si="12"/>
        <v>C</v>
      </c>
      <c r="J69" t="str" cm="1">
        <f t="array" ref="J69">_xlfn.IFS(H69&gt;20000,"A",H69&gt;10000,"B",H69&lt;10000,"C")</f>
        <v>C</v>
      </c>
    </row>
    <row r="70" spans="1:10" x14ac:dyDescent="0.3">
      <c r="A70" t="s">
        <v>15</v>
      </c>
      <c r="B70" t="s">
        <v>78</v>
      </c>
      <c r="C70" t="s">
        <v>83</v>
      </c>
      <c r="D70">
        <v>6000</v>
      </c>
      <c r="E70">
        <f t="shared" si="8"/>
        <v>150</v>
      </c>
      <c r="F70">
        <f t="shared" si="9"/>
        <v>210.00000000000003</v>
      </c>
      <c r="G70">
        <f t="shared" si="10"/>
        <v>90</v>
      </c>
      <c r="H70">
        <f t="shared" si="11"/>
        <v>6450</v>
      </c>
      <c r="I70" t="str">
        <f t="shared" si="12"/>
        <v>B</v>
      </c>
      <c r="J70" t="str" cm="1">
        <f t="array" ref="J70">_xlfn.IFS(H70&gt;20000,"A",H70&gt;10000,"B",H70&lt;10000,"C")</f>
        <v>C</v>
      </c>
    </row>
    <row r="71" spans="1:10" x14ac:dyDescent="0.3">
      <c r="A71" t="s">
        <v>74</v>
      </c>
      <c r="B71" t="s">
        <v>78</v>
      </c>
      <c r="C71" t="s">
        <v>84</v>
      </c>
      <c r="D71">
        <v>8000</v>
      </c>
      <c r="E71">
        <f t="shared" si="8"/>
        <v>200</v>
      </c>
      <c r="F71">
        <f t="shared" si="9"/>
        <v>280</v>
      </c>
      <c r="G71">
        <f t="shared" si="10"/>
        <v>120</v>
      </c>
      <c r="H71">
        <f t="shared" si="11"/>
        <v>8600</v>
      </c>
      <c r="I71" t="str">
        <f t="shared" si="12"/>
        <v>B</v>
      </c>
      <c r="J71" t="str" cm="1">
        <f t="array" ref="J71">_xlfn.IFS(H71&gt;20000,"A",H71&gt;10000,"B",H71&lt;10000,"C")</f>
        <v>C</v>
      </c>
    </row>
    <row r="72" spans="1:10" x14ac:dyDescent="0.3">
      <c r="A72" t="s">
        <v>75</v>
      </c>
      <c r="B72" t="s">
        <v>78</v>
      </c>
      <c r="C72" t="s">
        <v>85</v>
      </c>
      <c r="D72">
        <v>9000</v>
      </c>
      <c r="E72">
        <f t="shared" si="8"/>
        <v>225</v>
      </c>
      <c r="F72">
        <f t="shared" si="9"/>
        <v>315.00000000000006</v>
      </c>
      <c r="G72">
        <f t="shared" si="10"/>
        <v>135</v>
      </c>
      <c r="H72">
        <f t="shared" si="11"/>
        <v>9675</v>
      </c>
      <c r="I72" t="str">
        <f t="shared" si="12"/>
        <v>B</v>
      </c>
      <c r="J72" t="str" cm="1">
        <f t="array" ref="J72">_xlfn.IFS(H72&gt;20000,"A",H72&gt;10000,"B",H72&lt;10000,"C")</f>
        <v>C</v>
      </c>
    </row>
    <row r="73" spans="1:10" x14ac:dyDescent="0.3">
      <c r="A73" t="s">
        <v>76</v>
      </c>
      <c r="B73" t="s">
        <v>79</v>
      </c>
      <c r="C73" t="s">
        <v>80</v>
      </c>
      <c r="D73">
        <v>10000</v>
      </c>
      <c r="E73">
        <f t="shared" si="8"/>
        <v>250</v>
      </c>
      <c r="F73">
        <f t="shared" si="9"/>
        <v>350.00000000000006</v>
      </c>
      <c r="G73">
        <f t="shared" si="10"/>
        <v>150</v>
      </c>
      <c r="H73">
        <f t="shared" si="11"/>
        <v>10750</v>
      </c>
      <c r="I73" t="str">
        <f t="shared" si="12"/>
        <v>A</v>
      </c>
      <c r="J73" t="str" cm="1">
        <f t="array" ref="J73">_xlfn.IFS(H73&gt;20000,"A",H73&gt;10000,"B",H73&lt;10000,"C")</f>
        <v>B</v>
      </c>
    </row>
    <row r="74" spans="1:10" x14ac:dyDescent="0.3">
      <c r="A74" t="s">
        <v>77</v>
      </c>
      <c r="B74" t="s">
        <v>79</v>
      </c>
      <c r="C74" t="s">
        <v>83</v>
      </c>
      <c r="D74">
        <v>5000</v>
      </c>
      <c r="E74">
        <f t="shared" si="8"/>
        <v>125</v>
      </c>
      <c r="F74">
        <f t="shared" si="9"/>
        <v>175.00000000000003</v>
      </c>
      <c r="G74">
        <f t="shared" si="10"/>
        <v>75</v>
      </c>
      <c r="H74">
        <f t="shared" si="11"/>
        <v>5375</v>
      </c>
      <c r="I74" t="str">
        <f t="shared" si="12"/>
        <v>B</v>
      </c>
      <c r="J74" t="str" cm="1">
        <f t="array" ref="J74">_xlfn.IFS(H74&gt;20000,"A",H74&gt;10000,"B",H74&lt;10000,"C")</f>
        <v>C</v>
      </c>
    </row>
    <row r="77" spans="1:10" x14ac:dyDescent="0.3">
      <c r="A77" t="s">
        <v>86</v>
      </c>
    </row>
    <row r="78" spans="1:10" x14ac:dyDescent="0.3">
      <c r="A78">
        <f>COUNTIF(B67:B74,B68)</f>
        <v>3</v>
      </c>
      <c r="C78" t="s">
        <v>89</v>
      </c>
    </row>
    <row r="79" spans="1:10" x14ac:dyDescent="0.3">
      <c r="A79" t="s">
        <v>87</v>
      </c>
      <c r="C79">
        <f>SUMIF(B67:B74,"COMPUTER",H67:H74)</f>
        <v>17200</v>
      </c>
    </row>
    <row r="80" spans="1:10" x14ac:dyDescent="0.3">
      <c r="A80">
        <f>COUNTIF(B67:B74,"FINANCE")</f>
        <v>2</v>
      </c>
    </row>
    <row r="82" spans="1:3" x14ac:dyDescent="0.3">
      <c r="A82" t="s">
        <v>88</v>
      </c>
      <c r="C82" t="s">
        <v>90</v>
      </c>
    </row>
    <row r="83" spans="1:3" x14ac:dyDescent="0.3">
      <c r="A83">
        <f>COUNTIF(B67:B74,"ELECTRICAL")</f>
        <v>3</v>
      </c>
      <c r="C83" t="str">
        <f>VLOOKUP(A69,A66:I74,3,)</f>
        <v>PION</v>
      </c>
    </row>
    <row r="84" spans="1:3" x14ac:dyDescent="0.3">
      <c r="C84" t="str">
        <f>VLOOKUP(A69,A66:I74,9,)</f>
        <v>C</v>
      </c>
    </row>
    <row r="85" spans="1:3" x14ac:dyDescent="0.3">
      <c r="C85" t="s">
        <v>91</v>
      </c>
    </row>
    <row r="86" spans="1:3" x14ac:dyDescent="0.3">
      <c r="C86" t="str">
        <f>VLOOKUP(A73,A66:I74,3,)</f>
        <v>MANAGER</v>
      </c>
    </row>
    <row r="87" spans="1:3" x14ac:dyDescent="0.3">
      <c r="C87" t="str">
        <f>VLOOKUP(A73,A66:I74,9,)</f>
        <v>A</v>
      </c>
    </row>
  </sheetData>
  <mergeCells count="2">
    <mergeCell ref="K3:O3"/>
    <mergeCell ref="K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Sahana Bhosale</dc:creator>
  <cp:lastModifiedBy>Sahana Bhosale</cp:lastModifiedBy>
  <dcterms:created xsi:type="dcterms:W3CDTF">2026-01-06T10:32:34Z</dcterms:created>
  <dcterms:modified xsi:type="dcterms:W3CDTF">2026-01-06T12:53:06Z</dcterms:modified>
</cp:coreProperties>
</file>